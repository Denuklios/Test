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kosten" sheetId="1" state="visible" r:id="rId1"/>
  </sheets>
  <definedNames>
    <definedName name="Kurs">Fixkosten!$I$1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r.&quot;"/>
    <numFmt numFmtId="165" formatCode="#,##0.00 &quot;€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7F7F7F"/>
    </font>
    <font>
      <b val="1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546A"/>
      </patternFill>
    </fill>
    <fill>
      <patternFill patternType="solid">
        <fgColor rgb="00D9E1F2"/>
      </patternFill>
    </fill>
    <fill>
      <patternFill patternType="solid">
        <fgColor rgb="00F2D0EE"/>
      </patternFill>
    </fill>
    <fill>
      <patternFill patternType="solid">
        <fgColor rgb="00E6A0DA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/>
      <bottom style="double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2" fontId="0" fillId="2" borderId="1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4" borderId="2" pivotButton="0" quotePrefix="0" xfId="0"/>
    <xf numFmtId="0" fontId="0" fillId="4" borderId="2" pivotButton="0" quotePrefix="0" xfId="0"/>
    <xf numFmtId="164" fontId="3" fillId="4" borderId="2" pivotButton="0" quotePrefix="0" xfId="0"/>
    <xf numFmtId="165" fontId="3" fillId="4" borderId="2" pivotButton="0" quotePrefix="0" xfId="0"/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0" fontId="0" fillId="5" borderId="1" pivotButton="0" quotePrefix="0" xfId="0"/>
    <xf numFmtId="9" fontId="0" fillId="0" borderId="1" pivotButton="0" quotePrefix="0" xfId="0"/>
    <xf numFmtId="0" fontId="0" fillId="6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2D0EE"/>
        </patternFill>
      </fill>
    </dxf>
    <dxf>
      <fill>
        <patternFill patternType="solid">
          <fgColor rgb="00E6A0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46" customWidth="1" min="9" max="9"/>
  </cols>
  <sheetData>
    <row r="1">
      <c r="A1" s="1" t="inlineStr">
        <is>
          <t>Fixkosten Haushalt</t>
        </is>
      </c>
      <c r="H1" s="2" t="inlineStr">
        <is>
          <t>Wechselkurs (kr. pro 1 €)</t>
        </is>
      </c>
      <c r="I1" s="3" t="n">
        <v>7.5</v>
      </c>
    </row>
    <row r="2">
      <c r="A2" s="4" t="inlineStr">
        <is>
          <t>Gelbe Felder = Eingaben. Alles andere rechnet automatisch.</t>
        </is>
      </c>
    </row>
    <row r="4" ht="32" customHeight="1">
      <c r="A4" s="5" t="inlineStr">
        <is>
          <t>Posten</t>
        </is>
      </c>
      <c r="B4" s="5" t="inlineStr">
        <is>
          <t>Wer zahlt</t>
        </is>
      </c>
      <c r="C4" s="5" t="inlineStr">
        <is>
          <t>Betrag pro Zahlung (kr.)</t>
        </is>
      </c>
      <c r="D4" s="5" t="inlineStr">
        <is>
          <t>Zahlungsintervall (Monate)</t>
        </is>
      </c>
      <c r="E4" s="5" t="inlineStr">
        <is>
          <t>Fester Monatsbetrag (optional)</t>
        </is>
      </c>
      <c r="F4" s="5" t="inlineStr">
        <is>
          <t>Monatlich (kr.)</t>
        </is>
      </c>
      <c r="G4" s="5" t="inlineStr">
        <is>
          <t>Monatlich (€)</t>
        </is>
      </c>
      <c r="H4" s="5" t="inlineStr">
        <is>
          <t>Jährlich (kr.)</t>
        </is>
      </c>
      <c r="I4" s="5" t="inlineStr">
        <is>
          <t>Notiz</t>
        </is>
      </c>
    </row>
    <row r="5">
      <c r="A5" s="6" t="inlineStr">
        <is>
          <t>Handy ich</t>
        </is>
      </c>
      <c r="B5" s="7" t="inlineStr">
        <is>
          <t>Ich</t>
        </is>
      </c>
      <c r="C5" s="8" t="n">
        <v>238</v>
      </c>
      <c r="D5" s="7" t="n">
        <v>1</v>
      </c>
      <c r="E5" s="8" t="n"/>
      <c r="F5" s="9">
        <f>IF(E5&lt;&gt;"",E5,IF(AND(C5&lt;&gt;"",D5&gt;0),C5/D5,""))</f>
        <v/>
      </c>
      <c r="G5" s="10">
        <f>IF(F5="","",F5/Kurs)</f>
        <v/>
      </c>
      <c r="H5" s="9">
        <f>IF(F5="","",F5*12)</f>
        <v/>
      </c>
      <c r="I5" s="6" t="inlineStr"/>
    </row>
    <row r="6">
      <c r="A6" s="6" t="inlineStr">
        <is>
          <t>Handy Schatzi</t>
        </is>
      </c>
      <c r="B6" s="7" t="inlineStr">
        <is>
          <t>Ich</t>
        </is>
      </c>
      <c r="C6" s="8" t="n">
        <v>160</v>
      </c>
      <c r="D6" s="7" t="n">
        <v>1</v>
      </c>
      <c r="E6" s="8" t="n"/>
      <c r="F6" s="9">
        <f>IF(E6&lt;&gt;"",E6,IF(AND(C6&lt;&gt;"",D6&gt;0),C6/D6,""))</f>
        <v/>
      </c>
      <c r="G6" s="10">
        <f>IF(F6="","",F6/Kurs)</f>
        <v/>
      </c>
      <c r="H6" s="9">
        <f>IF(F6="","",F6*12)</f>
        <v/>
      </c>
      <c r="I6" s="6" t="inlineStr"/>
    </row>
    <row r="7">
      <c r="A7" s="6" t="inlineStr">
        <is>
          <t>Strom</t>
        </is>
      </c>
      <c r="B7" s="7" t="inlineStr">
        <is>
          <t>Schatzi</t>
        </is>
      </c>
      <c r="C7" s="8" t="n">
        <v>3905.38</v>
      </c>
      <c r="D7" s="7" t="n">
        <v>1</v>
      </c>
      <c r="E7" s="8" t="n">
        <v>1400</v>
      </c>
      <c r="F7" s="9">
        <f>IF(E7&lt;&gt;"",E7,IF(AND(C7&lt;&gt;"",D7&gt;0),C7/D7,""))</f>
        <v/>
      </c>
      <c r="G7" s="10">
        <f>IF(F7="","",F7/Kurs)</f>
        <v/>
      </c>
      <c r="H7" s="9">
        <f>IF(F7="","",F7*12)</f>
        <v/>
      </c>
      <c r="I7" s="6" t="inlineStr">
        <is>
          <t>Fester Abschlag 1.400 kr./Monat (aus alter Tabelle)</t>
        </is>
      </c>
    </row>
    <row r="8">
      <c r="A8" s="6" t="inlineStr">
        <is>
          <t>Grundsteuer</t>
        </is>
      </c>
      <c r="B8" s="7" t="inlineStr">
        <is>
          <t>Ich</t>
        </is>
      </c>
      <c r="C8" s="8" t="n">
        <v>977</v>
      </c>
      <c r="D8" s="7" t="n">
        <v>1</v>
      </c>
      <c r="E8" s="8" t="n"/>
      <c r="F8" s="9">
        <f>IF(E8&lt;&gt;"",E8,IF(AND(C8&lt;&gt;"",D8&gt;0),C8/D8,""))</f>
        <v/>
      </c>
      <c r="G8" s="10">
        <f>IF(F8="","",F8/Kurs)</f>
        <v/>
      </c>
      <c r="H8" s="9">
        <f>IF(F8="","",F8*12)</f>
        <v/>
      </c>
      <c r="I8" s="6" t="inlineStr">
        <is>
          <t>In alter Tabelle doppelt – hier nur 1x gezählt</t>
        </is>
      </c>
    </row>
    <row r="9">
      <c r="A9" s="6" t="inlineStr">
        <is>
          <t>Steuer Peugeot</t>
        </is>
      </c>
      <c r="B9" s="7" t="inlineStr">
        <is>
          <t>Ich</t>
        </is>
      </c>
      <c r="C9" s="8" t="n">
        <v>930</v>
      </c>
      <c r="D9" s="7" t="n">
        <v>6</v>
      </c>
      <c r="E9" s="8" t="n"/>
      <c r="F9" s="9">
        <f>IF(E9&lt;&gt;"",E9,IF(AND(C9&lt;&gt;"",D9&gt;0),C9/D9,""))</f>
        <v/>
      </c>
      <c r="G9" s="10">
        <f>IF(F9="","",F9/Kurs)</f>
        <v/>
      </c>
      <c r="H9" s="9">
        <f>IF(F9="","",F9*12)</f>
        <v/>
      </c>
      <c r="I9" s="6" t="inlineStr"/>
    </row>
    <row r="10">
      <c r="A10" s="6" t="inlineStr">
        <is>
          <t>Steuer Citroen</t>
        </is>
      </c>
      <c r="B10" s="7" t="inlineStr">
        <is>
          <t>Ich</t>
        </is>
      </c>
      <c r="C10" s="8" t="n">
        <v>930</v>
      </c>
      <c r="D10" s="7" t="n">
        <v>6</v>
      </c>
      <c r="E10" s="8" t="n"/>
      <c r="F10" s="9">
        <f>IF(E10&lt;&gt;"",E10,IF(AND(C10&lt;&gt;"",D10&gt;0),C10/D10,""))</f>
        <v/>
      </c>
      <c r="G10" s="10">
        <f>IF(F10="","",F10/Kurs)</f>
        <v/>
      </c>
      <c r="H10" s="9">
        <f>IF(F10="","",F10*12)</f>
        <v/>
      </c>
      <c r="I10" s="6" t="inlineStr"/>
    </row>
    <row r="11">
      <c r="A11" s="6" t="inlineStr">
        <is>
          <t>Forsia</t>
        </is>
      </c>
      <c r="B11" s="7" t="inlineStr">
        <is>
          <t>Schatzi</t>
        </is>
      </c>
      <c r="C11" s="8" t="n">
        <v>1333.53</v>
      </c>
      <c r="D11" s="7" t="n">
        <v>1</v>
      </c>
      <c r="E11" s="8" t="n"/>
      <c r="F11" s="9">
        <f>IF(E11&lt;&gt;"",E11,IF(AND(C11&lt;&gt;"",D11&gt;0),C11/D11,""))</f>
        <v/>
      </c>
      <c r="G11" s="10">
        <f>IF(F11="","",F11/Kurs)</f>
        <v/>
      </c>
      <c r="H11" s="9">
        <f>IF(F11="","",F11*12)</f>
        <v/>
      </c>
      <c r="I11" s="6" t="inlineStr"/>
    </row>
    <row r="12">
      <c r="A12" s="6" t="inlineStr">
        <is>
          <t>Waoo Internet</t>
        </is>
      </c>
      <c r="B12" s="7" t="inlineStr">
        <is>
          <t>Schatzi</t>
        </is>
      </c>
      <c r="C12" s="8" t="n">
        <v>1236.75</v>
      </c>
      <c r="D12" s="7" t="n">
        <v>3</v>
      </c>
      <c r="E12" s="8" t="n"/>
      <c r="F12" s="9">
        <f>IF(E12&lt;&gt;"",E12,IF(AND(C12&lt;&gt;"",D12&gt;0),C12/D12,""))</f>
        <v/>
      </c>
      <c r="G12" s="10">
        <f>IF(F12="","",F12/Kurs)</f>
        <v/>
      </c>
      <c r="H12" s="9">
        <f>IF(F12="","",F12*12)</f>
        <v/>
      </c>
      <c r="I12" s="6" t="inlineStr"/>
    </row>
    <row r="13">
      <c r="A13" s="6" t="inlineStr">
        <is>
          <t>GF Peugeot</t>
        </is>
      </c>
      <c r="B13" s="7" t="inlineStr">
        <is>
          <t>Ich</t>
        </is>
      </c>
      <c r="C13" s="8" t="n">
        <v>512.99</v>
      </c>
      <c r="D13" s="7" t="n">
        <v>1</v>
      </c>
      <c r="E13" s="8" t="n"/>
      <c r="F13" s="9">
        <f>IF(E13&lt;&gt;"",E13,IF(AND(C13&lt;&gt;"",D13&gt;0),C13/D13,""))</f>
        <v/>
      </c>
      <c r="G13" s="10">
        <f>IF(F13="","",F13/Kurs)</f>
        <v/>
      </c>
      <c r="H13" s="9">
        <f>IF(F13="","",F13*12)</f>
        <v/>
      </c>
      <c r="I13" s="6" t="inlineStr"/>
    </row>
    <row r="14">
      <c r="A14" s="6" t="inlineStr">
        <is>
          <t>Runa Versicherung</t>
        </is>
      </c>
      <c r="B14" s="7" t="inlineStr">
        <is>
          <t>Ich</t>
        </is>
      </c>
      <c r="C14" s="8" t="n">
        <v>122.34</v>
      </c>
      <c r="D14" s="7" t="n">
        <v>1</v>
      </c>
      <c r="E14" s="8" t="n"/>
      <c r="F14" s="9">
        <f>IF(E14&lt;&gt;"",E14,IF(AND(C14&lt;&gt;"",D14&gt;0),C14/D14,""))</f>
        <v/>
      </c>
      <c r="G14" s="10">
        <f>IF(F14="","",F14/Kurs)</f>
        <v/>
      </c>
      <c r="H14" s="9">
        <f>IF(F14="","",F14*12)</f>
        <v/>
      </c>
      <c r="I14" s="6" t="inlineStr"/>
    </row>
    <row r="15">
      <c r="A15" s="6" t="inlineStr">
        <is>
          <t>Arwos – Müll/Wasser</t>
        </is>
      </c>
      <c r="B15" s="7" t="inlineStr">
        <is>
          <t>Schatzi</t>
        </is>
      </c>
      <c r="C15" s="8" t="n">
        <v>5000</v>
      </c>
      <c r="D15" s="7" t="n">
        <v>6</v>
      </c>
      <c r="E15" s="8" t="n"/>
      <c r="F15" s="9">
        <f>IF(E15&lt;&gt;"",E15,IF(AND(C15&lt;&gt;"",D15&gt;0),C15/D15,""))</f>
        <v/>
      </c>
      <c r="G15" s="10">
        <f>IF(F15="","",F15/Kurs)</f>
        <v/>
      </c>
      <c r="H15" s="9">
        <f>IF(F15="","",F15*12)</f>
        <v/>
      </c>
      <c r="I15" s="6" t="inlineStr"/>
    </row>
    <row r="16">
      <c r="A16" s="6" t="n"/>
      <c r="B16" s="7" t="n"/>
      <c r="C16" s="8" t="n"/>
      <c r="D16" s="7" t="n"/>
      <c r="E16" s="8" t="n"/>
      <c r="F16" s="9">
        <f>IF(E16&lt;&gt;"",E16,IF(AND(C16&lt;&gt;"",D16&gt;0),C16/D16,""))</f>
        <v/>
      </c>
      <c r="G16" s="10">
        <f>IF(F16="","",F16/Kurs)</f>
        <v/>
      </c>
      <c r="H16" s="9">
        <f>IF(F16="","",F16*12)</f>
        <v/>
      </c>
      <c r="I16" s="6" t="n"/>
    </row>
    <row r="17">
      <c r="A17" s="6" t="n"/>
      <c r="B17" s="7" t="n"/>
      <c r="C17" s="8" t="n"/>
      <c r="D17" s="7" t="n"/>
      <c r="E17" s="8" t="n"/>
      <c r="F17" s="9">
        <f>IF(E17&lt;&gt;"",E17,IF(AND(C17&lt;&gt;"",D17&gt;0),C17/D17,""))</f>
        <v/>
      </c>
      <c r="G17" s="10">
        <f>IF(F17="","",F17/Kurs)</f>
        <v/>
      </c>
      <c r="H17" s="9">
        <f>IF(F17="","",F17*12)</f>
        <v/>
      </c>
      <c r="I17" s="6" t="n"/>
    </row>
    <row r="18">
      <c r="A18" s="6" t="n"/>
      <c r="B18" s="7" t="n"/>
      <c r="C18" s="8" t="n"/>
      <c r="D18" s="7" t="n"/>
      <c r="E18" s="8" t="n"/>
      <c r="F18" s="9">
        <f>IF(E18&lt;&gt;"",E18,IF(AND(C18&lt;&gt;"",D18&gt;0),C18/D18,""))</f>
        <v/>
      </c>
      <c r="G18" s="10">
        <f>IF(F18="","",F18/Kurs)</f>
        <v/>
      </c>
      <c r="H18" s="9">
        <f>IF(F18="","",F18*12)</f>
        <v/>
      </c>
      <c r="I18" s="6" t="n"/>
    </row>
    <row r="19">
      <c r="A19" s="6" t="n"/>
      <c r="B19" s="7" t="n"/>
      <c r="C19" s="8" t="n"/>
      <c r="D19" s="7" t="n"/>
      <c r="E19" s="8" t="n"/>
      <c r="F19" s="9">
        <f>IF(E19&lt;&gt;"",E19,IF(AND(C19&lt;&gt;"",D19&gt;0),C19/D19,""))</f>
        <v/>
      </c>
      <c r="G19" s="10">
        <f>IF(F19="","",F19/Kurs)</f>
        <v/>
      </c>
      <c r="H19" s="9">
        <f>IF(F19="","",F19*12)</f>
        <v/>
      </c>
      <c r="I19" s="6" t="n"/>
    </row>
    <row r="20">
      <c r="A20" s="6" t="n"/>
      <c r="B20" s="7" t="n"/>
      <c r="C20" s="8" t="n"/>
      <c r="D20" s="7" t="n"/>
      <c r="E20" s="8" t="n"/>
      <c r="F20" s="9">
        <f>IF(E20&lt;&gt;"",E20,IF(AND(C20&lt;&gt;"",D20&gt;0),C20/D20,""))</f>
        <v/>
      </c>
      <c r="G20" s="10">
        <f>IF(F20="","",F20/Kurs)</f>
        <v/>
      </c>
      <c r="H20" s="9">
        <f>IF(F20="","",F20*12)</f>
        <v/>
      </c>
      <c r="I20" s="6" t="n"/>
    </row>
    <row r="21">
      <c r="A21" s="6" t="n"/>
      <c r="B21" s="7" t="n"/>
      <c r="C21" s="8" t="n"/>
      <c r="D21" s="7" t="n"/>
      <c r="E21" s="8" t="n"/>
      <c r="F21" s="9">
        <f>IF(E21&lt;&gt;"",E21,IF(AND(C21&lt;&gt;"",D21&gt;0),C21/D21,""))</f>
        <v/>
      </c>
      <c r="G21" s="10">
        <f>IF(F21="","",F21/Kurs)</f>
        <v/>
      </c>
      <c r="H21" s="9">
        <f>IF(F21="","",F21*12)</f>
        <v/>
      </c>
      <c r="I21" s="6" t="n"/>
    </row>
    <row r="22">
      <c r="A22" s="6" t="n"/>
      <c r="B22" s="7" t="n"/>
      <c r="C22" s="8" t="n"/>
      <c r="D22" s="7" t="n"/>
      <c r="E22" s="8" t="n"/>
      <c r="F22" s="9">
        <f>IF(E22&lt;&gt;"",E22,IF(AND(C22&lt;&gt;"",D22&gt;0),C22/D22,""))</f>
        <v/>
      </c>
      <c r="G22" s="10">
        <f>IF(F22="","",F22/Kurs)</f>
        <v/>
      </c>
      <c r="H22" s="9">
        <f>IF(F22="","",F22*12)</f>
        <v/>
      </c>
      <c r="I22" s="6" t="n"/>
    </row>
    <row r="23">
      <c r="A23" s="6" t="n"/>
      <c r="B23" s="7" t="n"/>
      <c r="C23" s="8" t="n"/>
      <c r="D23" s="7" t="n"/>
      <c r="E23" s="8" t="n"/>
      <c r="F23" s="9">
        <f>IF(E23&lt;&gt;"",E23,IF(AND(C23&lt;&gt;"",D23&gt;0),C23/D23,""))</f>
        <v/>
      </c>
      <c r="G23" s="10">
        <f>IF(F23="","",F23/Kurs)</f>
        <v/>
      </c>
      <c r="H23" s="9">
        <f>IF(F23="","",F23*12)</f>
        <v/>
      </c>
      <c r="I23" s="6" t="n"/>
    </row>
    <row r="24">
      <c r="A24" s="6" t="n"/>
      <c r="B24" s="7" t="n"/>
      <c r="C24" s="8" t="n"/>
      <c r="D24" s="7" t="n"/>
      <c r="E24" s="8" t="n"/>
      <c r="F24" s="9">
        <f>IF(E24&lt;&gt;"",E24,IF(AND(C24&lt;&gt;"",D24&gt;0),C24/D24,""))</f>
        <v/>
      </c>
      <c r="G24" s="10">
        <f>IF(F24="","",F24/Kurs)</f>
        <v/>
      </c>
      <c r="H24" s="9">
        <f>IF(F24="","",F24*12)</f>
        <v/>
      </c>
      <c r="I24" s="6" t="n"/>
    </row>
    <row r="25">
      <c r="A25" s="11" t="inlineStr">
        <is>
          <t>Summe</t>
        </is>
      </c>
      <c r="B25" s="12" t="n"/>
      <c r="C25" s="12" t="n"/>
      <c r="D25" s="12" t="n"/>
      <c r="E25" s="12" t="n"/>
      <c r="F25" s="13">
        <f>SUM(F5:F24)</f>
        <v/>
      </c>
      <c r="G25" s="14">
        <f>SUM(G5:G24)</f>
        <v/>
      </c>
      <c r="H25" s="13">
        <f>SUM(H5:H24)</f>
        <v/>
      </c>
      <c r="I25" s="12" t="n"/>
    </row>
    <row r="28">
      <c r="A28" s="15" t="inlineStr">
        <is>
          <t>Aufteilung pro Person</t>
        </is>
      </c>
    </row>
    <row r="29">
      <c r="A29" s="16" t="inlineStr">
        <is>
          <t>Person</t>
        </is>
      </c>
      <c r="B29" s="16" t="inlineStr">
        <is>
          <t>Monatlich (kr.)</t>
        </is>
      </c>
      <c r="C29" s="16" t="inlineStr">
        <is>
          <t>Monatlich (€)</t>
        </is>
      </c>
      <c r="D29" s="16" t="inlineStr">
        <is>
          <t>Jährlich (kr.)</t>
        </is>
      </c>
      <c r="E29" s="16" t="inlineStr">
        <is>
          <t>Anteil</t>
        </is>
      </c>
    </row>
    <row r="30">
      <c r="A30" s="17" t="inlineStr">
        <is>
          <t>Ich</t>
        </is>
      </c>
      <c r="B30" s="9">
        <f>SUMIF($B$5:$B$24,A30,$F$5:$F$24)</f>
        <v/>
      </c>
      <c r="C30" s="10">
        <f>B30/Kurs</f>
        <v/>
      </c>
      <c r="D30" s="9">
        <f>B30*12</f>
        <v/>
      </c>
      <c r="E30" s="18">
        <f>IF($F$25=0,0,B30/$F$25)</f>
        <v/>
      </c>
    </row>
    <row r="31">
      <c r="A31" s="19" t="inlineStr">
        <is>
          <t>Schatzi</t>
        </is>
      </c>
      <c r="B31" s="9">
        <f>SUMIF($B$5:$B$24,A31,$F$5:$F$24)</f>
        <v/>
      </c>
      <c r="C31" s="10">
        <f>B31/Kurs</f>
        <v/>
      </c>
      <c r="D31" s="9">
        <f>B31*12</f>
        <v/>
      </c>
      <c r="E31" s="18">
        <f>IF($F$25=0,0,B31/$F$25)</f>
        <v/>
      </c>
    </row>
    <row r="32">
      <c r="A32" s="20" t="inlineStr">
        <is>
          <t>Gemeinsam</t>
        </is>
      </c>
      <c r="B32" s="9">
        <f>SUMIF($B$5:$B$24,A32,$F$5:$F$24)</f>
        <v/>
      </c>
      <c r="C32" s="10">
        <f>B32/Kurs</f>
        <v/>
      </c>
      <c r="D32" s="9">
        <f>B32*12</f>
        <v/>
      </c>
      <c r="E32" s="18">
        <f>IF($F$25=0,0,B32/$F$25)</f>
        <v/>
      </c>
    </row>
  </sheetData>
  <conditionalFormatting sqref="A5:A24">
    <cfRule type="expression" priority="1" dxfId="0">
      <formula>$B5="Ich"</formula>
    </cfRule>
    <cfRule type="expression" priority="2" dxfId="1">
      <formula>$B5="Schatzi"</formula>
    </cfRule>
  </conditionalFormatting>
  <conditionalFormatting sqref="F5:F24">
    <cfRule type="expression" priority="3" dxfId="0">
      <formula>$B5="Ich"</formula>
    </cfRule>
    <cfRule type="expression" priority="4" dxfId="1">
      <formula>$B5="Schatzi"</formula>
    </cfRule>
  </conditionalFormatting>
  <dataValidations count="2">
    <dataValidation sqref="B5:B24" showDropDown="0" showInputMessage="0" showErrorMessage="0" allowBlank="1" type="list">
      <formula1>"Ich,Schatzi,Gemeinsam"</formula1>
    </dataValidation>
    <dataValidation sqref="D5:D24" showDropDown="0" showInputMessage="1" showErrorMessage="0" allowBlank="1" promptTitle="Intervall" prompt="1 = monatlich, 3 = vierteljährlich, 6 = halbjährlich, 12 = jährlich" type="list">
      <formula1>"1,2,3,6,12"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2026-10-29T21:36:50Z</dcterms:created>
  <dcterms:modified xmlns:dcterms="http://purl.org/dc/terms/" xmlns:xsi="http://www.w3.org/2001/XMLSchema-instance" xsi:type="dcterms:W3CDTF">2026-10-29T21:36:50Z</dcterms:modified>
</cp:coreProperties>
</file>